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Indicadores" sheetId="2" state="visible" r:id="rId4"/>
    <sheet name="Renda Fixa" sheetId="3" state="visible" r:id="rId5"/>
    <sheet name="Renda Variável" sheetId="4" state="visible" r:id="rId6"/>
    <sheet name="Proven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Fonte: Banco Central, série SGS 432. Dado de 29/10/2026. Buscado automaticamente a cada geração.</t>
        </r>
      </text>
    </comment>
    <comment ref="B4" authorId="0">
      <text>
        <r>
          <rPr>
            <sz val="10"/>
            <rFont val="Arial"/>
            <family val="2"/>
          </rPr>
          <t xml:space="preserve">Fonte: Banco Central, série SGS 12. Dado de 29/10/2026. Buscado automaticamente a cada geração.</t>
        </r>
      </text>
    </comment>
    <comment ref="B5" authorId="0">
      <text>
        <r>
          <rPr>
            <sz val="10"/>
            <rFont val="Arial"/>
            <family val="2"/>
          </rPr>
          <t xml:space="preserve">Fonte: Banco Central/IBGE, série SGS 433. Dado de 01/09/2026. Buscado automaticamente a cada geração.</t>
        </r>
      </text>
    </comment>
    <comment ref="B6" authorId="0">
      <text>
        <r>
          <rPr>
            <sz val="10"/>
            <rFont val="Arial"/>
            <family val="2"/>
          </rPr>
          <t xml:space="preserve">Fonte: Banco Central, série SGS 1. Dado de 29/10/2026. Buscado automaticamente a cada geração.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Taxa anual contratada (do seu secret). No IPCA+, é o spread ACIMA da inflação.</t>
        </r>
      </text>
    </comment>
    <comment ref="C5" authorId="0">
      <text>
        <r>
          <rPr>
            <sz val="10"/>
            <rFont val="Arial"/>
            <family val="2"/>
          </rPr>
          <t xml:space="preserve">Taxa anual contratada (do seu secret). No IPCA+, é o spread ACIMA da inflação.</t>
        </r>
      </text>
    </comment>
    <comment ref="C6" authorId="0">
      <text>
        <r>
          <rPr>
            <sz val="10"/>
            <rFont val="Arial"/>
            <family val="2"/>
          </rPr>
          <t xml:space="preserve">Taxa anual contratada (do seu secret). No IPCA+, é o spread ACIMA da inflação.</t>
        </r>
      </text>
    </comment>
    <comment ref="G4" authorId="0">
      <text>
        <r>
          <rPr>
            <sz val="10"/>
            <rFont val="Arial"/>
            <family val="2"/>
          </rPr>
          <t xml:space="preserve">Prefixado não usa índice — fator fixo em 1.</t>
        </r>
      </text>
    </comment>
    <comment ref="G5" authorId="0">
      <text>
        <r>
          <rPr>
            <sz val="10"/>
            <rFont val="Arial"/>
            <family val="2"/>
          </rPr>
          <t xml:space="preserve">Prefixado não usa índice — fator fixo em 1.</t>
        </r>
      </text>
    </comment>
    <comment ref="G6" authorId="0">
      <text>
        <r>
          <rPr>
            <sz val="10"/>
            <rFont val="Arial"/>
            <family val="2"/>
          </rPr>
          <t xml:space="preserve">IPCA acumulado desde a aplicação (meses fechados até 10/2026), série SGS 433 do BCB. O mês corrente entra quando o IBGE publica.</t>
        </r>
      </text>
    </comment>
    <comment ref="H4" authorId="0">
      <text>
        <r>
          <rPr>
            <sz val="10"/>
            <rFont val="Arial"/>
            <family val="2"/>
          </rPr>
          <t xml:space="preserve">Dias úteis (seg-sex) da aplicação até hoje, com o dia da aplicação valendo zero. Aproximação: não desconta feriados — pequena diferença frente à convenção DU/252 oficial.</t>
        </r>
      </text>
    </comment>
    <comment ref="H5" authorId="0">
      <text>
        <r>
          <rPr>
            <sz val="10"/>
            <rFont val="Arial"/>
            <family val="2"/>
          </rPr>
          <t xml:space="preserve">Dias úteis (seg-sex) da aplicação até hoje, com o dia da aplicação valendo zero. Aproximação: não desconta feriados — pequena diferença frente à convenção DU/252 oficial.</t>
        </r>
      </text>
    </comment>
    <comment ref="H6" authorId="0">
      <text>
        <r>
          <rPr>
            <sz val="10"/>
            <rFont val="Arial"/>
            <family val="2"/>
          </rPr>
          <t xml:space="preserve">Dias úteis (seg-sex) da aplicação até hoje, com o dia da aplicação valendo zero. Aproximação: não desconta feriados — pequena diferença frente à convenção DU/252 oficial.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Fonte: simulado, no momento da geração.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Último provento ANUNCIADO por cota (Yahoo Finance). Proventos futuros não existem em fonte pública confiável — o que dá pra saber é o anunciado e o histórico.</t>
        </r>
      </text>
    </comment>
  </commentList>
</comments>
</file>

<file path=xl/sharedStrings.xml><?xml version="1.0" encoding="utf-8"?>
<sst xmlns="http://schemas.openxmlformats.org/spreadsheetml/2006/main" count="54" uniqueCount="47">
  <si>
    <t xml:space="preserve">Resumo da carteira</t>
  </si>
  <si>
    <t xml:space="preserve">Atualizado em 29/10/2026 — renda fixa continua acruando ao abrir (fórmulas com HOJE())</t>
  </si>
  <si>
    <t xml:space="preserve">Classe</t>
  </si>
  <si>
    <t xml:space="preserve">Valor atual</t>
  </si>
  <si>
    <t xml:space="preserve">% da carteira</t>
  </si>
  <si>
    <t xml:space="preserve">Renda fixa</t>
  </si>
  <si>
    <t xml:space="preserve">Renda variável</t>
  </si>
  <si>
    <t xml:space="preserve">Total</t>
  </si>
  <si>
    <t xml:space="preserve">Indicadores oficiais do dia</t>
  </si>
  <si>
    <t xml:space="preserve">Meta Selic (% a.a.)</t>
  </si>
  <si>
    <t xml:space="preserve">CDI (% ao dia)</t>
  </si>
  <si>
    <t xml:space="preserve">IPCA do último mês (%)</t>
  </si>
  <si>
    <t xml:space="preserve">Dólar PTAX venda (R$)</t>
  </si>
  <si>
    <t xml:space="preserve">Gerado em 29/10/2026 15:05 (UTC do runner)</t>
  </si>
  <si>
    <t xml:space="preserve">Legenda: células AZUIS = dado buscado hoje (APIs/secret) · PRETAS = fórmula que recalcula sozinha · VERDES = referência a outra aba</t>
  </si>
  <si>
    <t xml:space="preserve">Renda fixa — acumulando dia a dia</t>
  </si>
  <si>
    <t xml:space="preserve">Nome</t>
  </si>
  <si>
    <t xml:space="preserve">Indexador</t>
  </si>
  <si>
    <t xml:space="preserve">Taxa contratada (a.a.)</t>
  </si>
  <si>
    <t xml:space="preserve">Data aplicação</t>
  </si>
  <si>
    <t xml:space="preserve">Vencimento</t>
  </si>
  <si>
    <t xml:space="preserve">Valor aplicado</t>
  </si>
  <si>
    <t xml:space="preserve">Fator do índice</t>
  </si>
  <si>
    <t xml:space="preserve">Dias úteis</t>
  </si>
  <si>
    <t xml:space="preserve">Rendimento</t>
  </si>
  <si>
    <t xml:space="preserve">% no período</t>
  </si>
  <si>
    <t xml:space="preserve">LCA Rabobank (saldo em 29/10/2026)</t>
  </si>
  <si>
    <t xml:space="preserve">prefixado</t>
  </si>
  <si>
    <t xml:space="preserve">LCA Banco Votorantim (saldo em 29/10/2026)</t>
  </si>
  <si>
    <t xml:space="preserve">Debênture UTPS12 - Usina Termelétrica Pampa Sul (saldo em 29/10/2026)</t>
  </si>
  <si>
    <t xml:space="preserve">ipca+</t>
  </si>
  <si>
    <t xml:space="preserve">Renda variável — cotações de hoje</t>
  </si>
  <si>
    <t xml:space="preserve">Ticker</t>
  </si>
  <si>
    <t xml:space="preserve">Quantidade</t>
  </si>
  <si>
    <t xml:space="preserve">Preço médio</t>
  </si>
  <si>
    <t xml:space="preserve">Cotação</t>
  </si>
  <si>
    <t xml:space="preserve">Variação (dia)</t>
  </si>
  <si>
    <t xml:space="preserve">Valor da posição</t>
  </si>
  <si>
    <t xml:space="preserve">Resultado</t>
  </si>
  <si>
    <t xml:space="preserve">HGLG11</t>
  </si>
  <si>
    <t xml:space="preserve">Proventos — quanto cai pra você</t>
  </si>
  <si>
    <t xml:space="preserve">Último provento/cota</t>
  </si>
  <si>
    <t xml:space="preserve">Anunciado em</t>
  </si>
  <si>
    <t xml:space="preserve">Você recebe</t>
  </si>
  <si>
    <t xml:space="preserve">Soma 12m/cota</t>
  </si>
  <si>
    <t xml:space="preserve">DY 12m</t>
  </si>
  <si>
    <t xml:space="preserve">15/10/2026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</si>
</sst>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;&quot;(R$ &quot;#,##0.00\)"/>
    <numFmt numFmtId="166" formatCode="0.00%"/>
    <numFmt numFmtId="167" formatCode="#,##0.0000"/>
    <numFmt numFmtId="168" formatCode="dd/mm/yyyy"/>
    <numFmt numFmtId="169" formatCode="0.000000"/>
    <numFmt numFmtId="170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SUM('Renda Fixa'!I4:I6)</f>
        <v>10633.54</v>
      </c>
      <c r="C5" s="6" t="n">
        <f aca="false">IF($B$7=0,0,B5/$B$7)</f>
        <v>0.747349304275833</v>
      </c>
    </row>
    <row r="6" customFormat="false" ht="15" hidden="false" customHeight="false" outlineLevel="0" collapsed="false">
      <c r="A6" s="4" t="s">
        <v>6</v>
      </c>
      <c r="B6" s="5" t="n">
        <f aca="false">SUM('Renda Variável'!F4:F4)</f>
        <v>3594.8</v>
      </c>
      <c r="C6" s="6" t="n">
        <f aca="false">IF($B$7=0,0,B6/$B$7)</f>
        <v>0.252650695724167</v>
      </c>
    </row>
    <row r="7" customFormat="false" ht="15" hidden="false" customHeight="false" outlineLevel="0" collapsed="false">
      <c r="A7" s="7" t="s">
        <v>7</v>
      </c>
      <c r="B7" s="8" t="n">
        <f aca="false">B5+B6</f>
        <v>14228.34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8</v>
      </c>
    </row>
    <row r="3" customFormat="false" ht="15" hidden="false" customHeight="false" outlineLevel="0" collapsed="false">
      <c r="A3" s="4" t="s">
        <v>9</v>
      </c>
      <c r="B3" s="9" t="n">
        <v>15</v>
      </c>
    </row>
    <row r="4" customFormat="false" ht="15" hidden="false" customHeight="false" outlineLevel="0" collapsed="false">
      <c r="A4" s="4" t="s">
        <v>10</v>
      </c>
      <c r="B4" s="9" t="n">
        <v>0.054266</v>
      </c>
    </row>
    <row r="5" customFormat="false" ht="15" hidden="false" customHeight="false" outlineLevel="0" collapsed="false">
      <c r="A5" s="4" t="s">
        <v>11</v>
      </c>
      <c r="B5" s="9" t="n">
        <v>0.26</v>
      </c>
    </row>
    <row r="6" customFormat="false" ht="15" hidden="false" customHeight="false" outlineLevel="0" collapsed="false">
      <c r="A6" s="4" t="s">
        <v>12</v>
      </c>
      <c r="B6" s="9" t="n">
        <v>5.3516</v>
      </c>
    </row>
    <row r="8" customFormat="false" ht="15" hidden="false" customHeight="false" outlineLevel="0" collapsed="false">
      <c r="A8" s="2" t="s">
        <v>13</v>
      </c>
    </row>
    <row r="10" customFormat="false" ht="15" hidden="false" customHeight="false" outlineLevel="0" collapsed="false">
      <c r="A1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15</v>
      </c>
    </row>
    <row r="3" customFormat="false" ht="1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3</v>
      </c>
      <c r="J3" s="3" t="s">
        <v>24</v>
      </c>
      <c r="K3" s="3" t="s">
        <v>25</v>
      </c>
    </row>
    <row r="4" customFormat="false" ht="15" hidden="false" customHeight="false" outlineLevel="0" collapsed="false">
      <c r="A4" s="10" t="s">
        <v>26</v>
      </c>
      <c r="B4" s="10" t="s">
        <v>27</v>
      </c>
      <c r="C4" s="11" t="n">
        <v>0.1235</v>
      </c>
      <c r="D4" s="12" t="n">
        <v>46324</v>
      </c>
      <c r="E4" s="12" t="n">
        <v>46981</v>
      </c>
      <c r="F4" s="13" t="n">
        <v>4095.38</v>
      </c>
      <c r="G4" s="14" t="n">
        <v>1</v>
      </c>
      <c r="H4" s="15" t="n">
        <f aca="true">NETWORKDAYS(D4,TODAY())-1</f>
        <v>0</v>
      </c>
      <c r="I4" s="16" t="n">
        <f aca="false">F4*G4*(1+C4)^(H4/252)</f>
        <v>4095.38</v>
      </c>
      <c r="J4" s="16" t="n">
        <f aca="false">I4-F4</f>
        <v>0</v>
      </c>
      <c r="K4" s="6" t="n">
        <f aca="false">IF(F4=0,0,I4/F4-1)</f>
        <v>0</v>
      </c>
    </row>
    <row r="5" customFormat="false" ht="15" hidden="false" customHeight="false" outlineLevel="0" collapsed="false">
      <c r="A5" s="10" t="s">
        <v>28</v>
      </c>
      <c r="B5" s="10" t="s">
        <v>27</v>
      </c>
      <c r="C5" s="11" t="n">
        <v>0.1259</v>
      </c>
      <c r="D5" s="12" t="n">
        <v>46324</v>
      </c>
      <c r="E5" s="12" t="n">
        <v>47052</v>
      </c>
      <c r="F5" s="13" t="n">
        <v>4003.76</v>
      </c>
      <c r="G5" s="14" t="n">
        <v>1</v>
      </c>
      <c r="H5" s="15" t="n">
        <f aca="true">NETWORKDAYS(D5,TODAY())-1</f>
        <v>0</v>
      </c>
      <c r="I5" s="16" t="n">
        <f aca="false">F5*G5*(1+C5)^(H5/252)</f>
        <v>4003.76</v>
      </c>
      <c r="J5" s="16" t="n">
        <f aca="false">I5-F5</f>
        <v>0</v>
      </c>
      <c r="K5" s="6" t="n">
        <f aca="false">IF(F5=0,0,I5/F5-1)</f>
        <v>0</v>
      </c>
    </row>
    <row r="6" customFormat="false" ht="15" hidden="false" customHeight="false" outlineLevel="0" collapsed="false">
      <c r="A6" s="10" t="s">
        <v>29</v>
      </c>
      <c r="B6" s="10" t="s">
        <v>30</v>
      </c>
      <c r="C6" s="11" t="n">
        <v>0.0738</v>
      </c>
      <c r="D6" s="12" t="n">
        <v>46324</v>
      </c>
      <c r="E6" s="12" t="n">
        <v>46858</v>
      </c>
      <c r="F6" s="13" t="n">
        <v>2534.4</v>
      </c>
      <c r="G6" s="14" t="n">
        <v>1</v>
      </c>
      <c r="H6" s="15" t="n">
        <f aca="true">NETWORKDAYS(D6,TODAY())-1</f>
        <v>0</v>
      </c>
      <c r="I6" s="16" t="n">
        <f aca="false">F6*G6*(1+C6)^(H6/252)</f>
        <v>2534.4</v>
      </c>
      <c r="J6" s="16" t="n">
        <f aca="false">I6-F6</f>
        <v>0</v>
      </c>
      <c r="K6" s="6" t="n">
        <f aca="false">IF(F6=0,0,I6/F6-1)</f>
        <v>0</v>
      </c>
    </row>
    <row r="8" customFormat="false" ht="15" hidden="false" customHeight="false" outlineLevel="0" collapsed="false">
      <c r="A8" s="7" t="s">
        <v>7</v>
      </c>
      <c r="F8" s="8" t="n">
        <f aca="false">SUM(F4:F6)</f>
        <v>10633.54</v>
      </c>
      <c r="I8" s="8" t="n">
        <f aca="false">SUM(I4:I6)</f>
        <v>10633.54</v>
      </c>
      <c r="J8" s="8" t="n">
        <f aca="false">SUM(J4:J6)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" t="s">
        <v>31</v>
      </c>
    </row>
    <row r="3" customFormat="false" ht="15" hidden="false" customHeight="false" outlineLevel="0" collapsed="false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</row>
    <row r="4" customFormat="false" ht="15" hidden="false" customHeight="false" outlineLevel="0" collapsed="false">
      <c r="A4" s="10" t="s">
        <v>39</v>
      </c>
      <c r="B4" s="10" t="n">
        <v>22</v>
      </c>
      <c r="D4" s="13" t="n">
        <v>163.4</v>
      </c>
      <c r="E4" s="11" t="n">
        <v>-0.0061</v>
      </c>
      <c r="F4" s="16" t="n">
        <f aca="false">IF(ISNUMBER(D4),B4*D4,0)</f>
        <v>3594.8</v>
      </c>
      <c r="G4" s="16" t="n">
        <f aca="false">IF(AND(ISNUMBER(C4),ISNUMBER(D4)),(D4-C4)*B4,0)</f>
        <v>0</v>
      </c>
    </row>
    <row r="6" customFormat="false" ht="15" hidden="false" customHeight="false" outlineLevel="0" collapsed="false">
      <c r="A6" s="7" t="s">
        <v>7</v>
      </c>
      <c r="F6" s="8" t="n">
        <f aca="false">SUM(F4:F4)</f>
        <v>3594.8</v>
      </c>
      <c r="G6" s="8" t="n">
        <f aca="false">SUM(G4:G4)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40</v>
      </c>
    </row>
    <row r="3" customFormat="false" ht="15" hidden="false" customHeight="false" outlineLevel="0" collapsed="false">
      <c r="A3" s="3" t="s">
        <v>32</v>
      </c>
      <c r="B3" s="3" t="s">
        <v>33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</row>
    <row r="4" customFormat="false" ht="15" hidden="false" customHeight="false" outlineLevel="0" collapsed="false">
      <c r="A4" s="10" t="s">
        <v>39</v>
      </c>
      <c r="B4" s="17" t="n">
        <f aca="false">'Renda Variável'!B4</f>
        <v>22</v>
      </c>
      <c r="C4" s="13" t="n">
        <v>1.1</v>
      </c>
      <c r="D4" s="10" t="s">
        <v>46</v>
      </c>
      <c r="E4" s="16" t="n">
        <f aca="false">B4*C4</f>
        <v>24.2</v>
      </c>
      <c r="F4" s="13" t="n">
        <v>13.2</v>
      </c>
      <c r="G4" s="18" t="n">
        <f aca="false">IF(AND(ISNUMBER('Renda Variável'!D4),'Renda Variável'!D4&gt;0),F4/'Renda Variável'!D4,0)</f>
        <v>0.0807833537331701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2026-10-29T18:05:38Z</dcterms:created>
  <dc:creator>openpyxl</dc:creator>
  <dc:description/>
  <dc:language>en-US</dc:language>
  <cp:lastModifiedBy/>
  <dcterms:modified xsi:type="dcterms:W3CDTF">2026-10-29T18:05:38Z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